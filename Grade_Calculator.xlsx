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CONTAINS">LAMBDA(cell, range, NOT(ISERROR(MATCH(cell,range,0))))</definedName>
    <definedName name="SUM_GPA_WEIGHTED">LAMBDA(range, range_5.0, range_5.5, range_6.0, (COUNTIF(range_5.0, "&gt;=70")*5 + COUNTIF(range_5.5, "&gt;=70")*5.5 + COUNTIF(range_6.0, "&gt;=70")*6 + ((SUMIF(range,"&gt;=70") - COUNTIF(range, "&gt;=70")*100)*0.1)))</definedName>
  </definedNames>
  <calcPr/>
</workbook>
</file>

<file path=xl/sharedStrings.xml><?xml version="1.0" encoding="utf-8"?>
<sst xmlns="http://schemas.openxmlformats.org/spreadsheetml/2006/main" count="17" uniqueCount="16">
  <si>
    <t>weighted</t>
  </si>
  <si>
    <t>8th</t>
  </si>
  <si>
    <t>9th</t>
  </si>
  <si>
    <t>10th</t>
  </si>
  <si>
    <t>11th</t>
  </si>
  <si>
    <t>12th</t>
  </si>
  <si>
    <t>q1</t>
  </si>
  <si>
    <t>q2</t>
  </si>
  <si>
    <t>sem avg</t>
  </si>
  <si>
    <t>5.0:</t>
  </si>
  <si>
    <t>5.5:</t>
  </si>
  <si>
    <t>6.0:</t>
  </si>
  <si>
    <t>sum:</t>
  </si>
  <si>
    <t>average:</t>
  </si>
  <si>
    <t>unweighted</t>
  </si>
  <si>
    <t>avg: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</si>
</sst>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等线"/>
      <scheme val="minor"/>
    </font>
    <font>
      <b/>
      <color theme="1"/>
      <name val="等线"/>
    </font>
    <font>
      <color theme="1"/>
      <name val="等线"/>
    </font>
    <font>
      <sz val="11.0"/>
      <color theme="1"/>
      <name val="等线"/>
    </font>
    <font>
      <b/>
      <sz val="11.0"/>
      <color theme="1"/>
      <name val="等线"/>
    </font>
  </fonts>
  <fills count="8">
    <fill>
      <patternFill patternType="none"/>
    </fill>
    <fill>
      <patternFill patternType="lightGray"/>
    </fill>
    <fill>
      <patternFill patternType="solid">
        <fgColor rgb="FFC4C4C4"/>
        <bgColor rgb="FFC4C4C4"/>
      </patternFill>
    </fill>
    <fill>
      <patternFill patternType="solid">
        <fgColor rgb="FFCCCCCC"/>
        <bgColor rgb="FFCCCCCC"/>
      </patternFill>
    </fill>
    <fill>
      <patternFill patternType="solid">
        <fgColor rgb="FFE3E3E3"/>
        <bgColor rgb="FFE3E3E3"/>
      </patternFill>
    </fill>
    <fill>
      <patternFill patternType="solid">
        <fgColor rgb="FFD0D0D0"/>
        <bgColor rgb="FFD0D0D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vertical="center"/>
    </xf>
    <xf borderId="0" fillId="2" fontId="2" numFmtId="0" xfId="0" applyAlignment="1" applyFill="1" applyFont="1">
      <alignment vertical="center"/>
    </xf>
    <xf borderId="0" fillId="3" fontId="3" numFmtId="0" xfId="0" applyAlignment="1" applyFill="1" applyFont="1">
      <alignment vertical="center"/>
    </xf>
    <xf borderId="0" fillId="4" fontId="2" numFmtId="0" xfId="0" applyAlignment="1" applyFill="1" applyFont="1">
      <alignment vertical="center"/>
    </xf>
    <xf borderId="0" fillId="5" fontId="2" numFmtId="0" xfId="0" applyAlignment="1" applyFill="1" applyFont="1">
      <alignment vertical="center"/>
    </xf>
    <xf borderId="0" fillId="5" fontId="3" numFmtId="0" xfId="0" applyAlignment="1" applyFill="1" applyFont="1">
      <alignment horizontal="right" vertical="center"/>
    </xf>
    <xf borderId="0" fillId="4" fontId="3" numFmtId="0" xfId="0" applyAlignment="1" applyFill="1" applyFont="1">
      <alignment horizontal="right" vertical="center"/>
    </xf>
    <xf borderId="0" fillId="6" fontId="3" numFmtId="0" xfId="0" applyAlignment="1" applyFill="1" applyFont="1">
      <alignment vertical="center"/>
    </xf>
    <xf borderId="0" fillId="6" fontId="3" numFmtId="0" xfId="0" applyAlignment="1" applyFill="1" applyFont="1">
      <alignment horizontal="right" vertical="center"/>
    </xf>
    <xf borderId="0" fillId="4" fontId="3" numFmtId="0" xfId="0" applyAlignment="1" applyFill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0" fillId="7" fontId="3" numFmtId="0" xfId="0" applyAlignment="1" applyFill="1" applyFont="1">
      <alignment horizontal="right" vertical="center"/>
    </xf>
    <xf borderId="0" fillId="2" fontId="4" numFmtId="0" xfId="0" applyAlignment="1" applyFill="1" applyFont="1">
      <alignment vertical="center"/>
    </xf>
    <xf borderId="0" fillId="2" fontId="3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0" fillId="5" fontId="3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等线"/>
        <a:ea typeface="等线"/>
        <a:cs typeface="等线"/>
      </a:majorFont>
      <a:minorFont>
        <a:latin typeface="等线"/>
        <a:ea typeface="等线"/>
        <a:cs typeface="等线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8" width="8.63"/>
  </cols>
  <sheetData>
    <row r="1" ht="14.25" customHeight="1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N1" s="2"/>
      <c r="P1" s="3" t="s">
        <v>6</v>
      </c>
      <c r="Q1" s="3" t="s">
        <v>7</v>
      </c>
      <c r="R1" s="3" t="s">
        <v>8</v>
      </c>
    </row>
    <row r="2" ht="14.25" customHeight="1">
      <c r="A2" s="2" t="s">
        <v>9</v>
      </c>
      <c r="B2" s="4">
        <v>100.0</v>
      </c>
      <c r="C2" s="4">
        <v>98.0</v>
      </c>
      <c r="D2" s="5"/>
      <c r="E2" s="5"/>
      <c r="F2" s="4"/>
      <c r="G2" s="4"/>
      <c r="H2" s="6"/>
      <c r="I2" s="6"/>
      <c r="J2" s="4"/>
      <c r="K2" s="4"/>
      <c r="N2" s="7">
        <v>100.0</v>
      </c>
      <c r="P2" s="8"/>
      <c r="Q2" s="8"/>
      <c r="R2" s="9">
        <f t="shared" ref="R2:R3" si="1">ROUNDUP((P2+Q2)/2,0)</f>
        <v>0</v>
      </c>
    </row>
    <row r="3" ht="14.25" customHeight="1">
      <c r="A3" s="2"/>
      <c r="D3" s="4"/>
      <c r="E3" s="4"/>
      <c r="H3" s="10"/>
      <c r="I3" s="10"/>
      <c r="N3" s="11">
        <v>100.0</v>
      </c>
      <c r="P3" s="12"/>
      <c r="Q3" s="12"/>
      <c r="R3" s="9">
        <f t="shared" si="1"/>
        <v>0</v>
      </c>
    </row>
    <row r="4" ht="14.25" customHeight="1">
      <c r="A4" s="2"/>
      <c r="D4" s="4"/>
      <c r="E4" s="4"/>
      <c r="H4" s="10"/>
      <c r="I4" s="10"/>
      <c r="N4" s="11"/>
      <c r="P4" s="11"/>
      <c r="Q4" s="11"/>
      <c r="R4" s="11"/>
    </row>
    <row r="5" ht="14.25" customHeight="1">
      <c r="A5" s="2"/>
      <c r="D5" s="4"/>
      <c r="E5" s="4"/>
      <c r="H5" s="10"/>
      <c r="I5" s="10"/>
      <c r="N5" s="11"/>
      <c r="P5" s="11"/>
      <c r="Q5" s="11"/>
      <c r="R5" s="11"/>
    </row>
    <row r="6" ht="14.25" customHeight="1">
      <c r="A6" s="2"/>
      <c r="D6" s="4"/>
      <c r="E6" s="4"/>
      <c r="H6" s="10"/>
      <c r="I6" s="10"/>
      <c r="N6" s="11"/>
      <c r="P6" s="11"/>
      <c r="Q6" s="11"/>
      <c r="R6" s="11"/>
    </row>
    <row r="7" ht="14.25" customHeight="1">
      <c r="A7" s="2"/>
      <c r="D7" s="4"/>
      <c r="E7" s="4"/>
      <c r="H7" s="10"/>
      <c r="I7" s="10"/>
      <c r="N7" s="11"/>
      <c r="P7" s="11"/>
      <c r="Q7" s="11"/>
      <c r="R7" s="11"/>
    </row>
    <row r="8" ht="14.25" customHeight="1">
      <c r="A8" s="2"/>
      <c r="D8" s="4"/>
      <c r="E8" s="4"/>
      <c r="H8" s="10"/>
      <c r="I8" s="10"/>
      <c r="N8" s="11"/>
      <c r="P8" s="11"/>
      <c r="Q8" s="11"/>
      <c r="R8" s="11"/>
    </row>
    <row r="9" ht="14.25" customHeight="1">
      <c r="A9" s="2"/>
      <c r="D9" s="4"/>
      <c r="E9" s="4"/>
      <c r="H9" s="10"/>
      <c r="I9" s="10"/>
      <c r="N9" s="11"/>
      <c r="P9" s="11"/>
      <c r="Q9" s="11"/>
      <c r="R9" s="11"/>
    </row>
    <row r="10" ht="14.25" customHeight="1">
      <c r="A10" s="2"/>
      <c r="D10" s="4"/>
      <c r="E10" s="4"/>
      <c r="H10" s="10"/>
      <c r="I10" s="10"/>
      <c r="N10" s="11"/>
      <c r="P10" s="11"/>
      <c r="Q10" s="11"/>
      <c r="R10" s="11"/>
    </row>
    <row r="11" ht="14.25" customHeight="1">
      <c r="A11" s="2"/>
      <c r="D11" s="4"/>
      <c r="E11" s="4"/>
      <c r="H11" s="10"/>
      <c r="I11" s="10"/>
      <c r="N11" s="11"/>
      <c r="P11" s="11"/>
      <c r="Q11" s="11"/>
      <c r="R11" s="11"/>
    </row>
    <row r="12" ht="14.25" customHeight="1">
      <c r="A12" s="2" t="s">
        <v>10</v>
      </c>
      <c r="B12" s="7">
        <v>100.0</v>
      </c>
      <c r="C12" s="7">
        <v>95.0</v>
      </c>
      <c r="D12" s="5"/>
      <c r="E12" s="5"/>
      <c r="F12" s="4"/>
      <c r="G12" s="4"/>
      <c r="H12" s="6"/>
      <c r="I12" s="6"/>
      <c r="J12" s="4"/>
      <c r="K12" s="4"/>
      <c r="N12" s="7">
        <v>90.0</v>
      </c>
      <c r="P12" s="9"/>
      <c r="Q12" s="9"/>
      <c r="R12" s="9">
        <f t="shared" ref="R12:R14" si="2">ROUNDUP((P12+Q12)/2,0)</f>
        <v>0</v>
      </c>
    </row>
    <row r="13" ht="14.25" customHeight="1">
      <c r="A13" s="2"/>
      <c r="D13" s="4"/>
      <c r="E13" s="4"/>
      <c r="H13" s="7"/>
      <c r="I13" s="7"/>
      <c r="N13" s="12">
        <v>90.0</v>
      </c>
      <c r="P13" s="12"/>
      <c r="Q13" s="12"/>
      <c r="R13" s="9">
        <f t="shared" si="2"/>
        <v>0</v>
      </c>
    </row>
    <row r="14" ht="14.25" customHeight="1">
      <c r="A14" s="2"/>
      <c r="D14" s="4"/>
      <c r="E14" s="4"/>
      <c r="H14" s="7"/>
      <c r="I14" s="7"/>
      <c r="N14" s="12"/>
      <c r="P14" s="12"/>
      <c r="Q14" s="12"/>
      <c r="R14" s="9">
        <f t="shared" si="2"/>
        <v>0</v>
      </c>
    </row>
    <row r="15" ht="14.25" customHeight="1">
      <c r="A15" s="2"/>
      <c r="D15" s="4"/>
      <c r="E15" s="4"/>
      <c r="H15" s="10"/>
      <c r="I15" s="10"/>
      <c r="N15" s="11"/>
      <c r="P15" s="11"/>
      <c r="Q15" s="11"/>
      <c r="R15" s="11"/>
    </row>
    <row r="16" ht="14.25" customHeight="1">
      <c r="A16" s="2"/>
      <c r="D16" s="4"/>
      <c r="E16" s="4"/>
      <c r="H16" s="10"/>
      <c r="I16" s="10"/>
      <c r="N16" s="11"/>
      <c r="P16" s="11"/>
      <c r="Q16" s="11"/>
      <c r="R16" s="11"/>
    </row>
    <row r="17" ht="14.25" customHeight="1">
      <c r="A17" s="2"/>
      <c r="D17" s="4"/>
      <c r="E17" s="4"/>
      <c r="H17" s="10"/>
      <c r="I17" s="10"/>
      <c r="N17" s="11"/>
      <c r="P17" s="11"/>
      <c r="Q17" s="11"/>
      <c r="R17" s="11"/>
    </row>
    <row r="18" ht="14.25" customHeight="1">
      <c r="A18" s="2"/>
      <c r="D18" s="4"/>
      <c r="E18" s="4"/>
      <c r="H18" s="10"/>
      <c r="I18" s="10"/>
      <c r="N18" s="11"/>
      <c r="P18" s="11"/>
      <c r="Q18" s="11"/>
      <c r="R18" s="11"/>
    </row>
    <row r="19" ht="14.25" customHeight="1">
      <c r="A19" s="2"/>
      <c r="D19" s="4"/>
      <c r="E19" s="4"/>
      <c r="H19" s="10"/>
      <c r="I19" s="10"/>
      <c r="N19" s="11"/>
      <c r="P19" s="11"/>
      <c r="Q19" s="11"/>
      <c r="R19" s="11"/>
    </row>
    <row r="20" ht="14.25" customHeight="1">
      <c r="A20" s="2"/>
      <c r="D20" s="4"/>
      <c r="E20" s="4"/>
      <c r="H20" s="10"/>
      <c r="I20" s="10"/>
      <c r="N20" s="11"/>
      <c r="P20" s="11"/>
      <c r="Q20" s="11"/>
      <c r="R20" s="11"/>
    </row>
    <row r="21" ht="14.25" customHeight="1">
      <c r="A21" s="2"/>
      <c r="D21" s="4"/>
      <c r="E21" s="4"/>
      <c r="H21" s="10"/>
      <c r="I21" s="4"/>
      <c r="N21" s="11"/>
      <c r="P21" s="11"/>
      <c r="Q21" s="11"/>
      <c r="R21" s="11"/>
    </row>
    <row r="22" ht="14.25" customHeight="1">
      <c r="A22" s="2" t="s">
        <v>11</v>
      </c>
      <c r="B22" s="4">
        <v>100.0</v>
      </c>
      <c r="C22" s="4">
        <v>100.0</v>
      </c>
      <c r="D22" s="5"/>
      <c r="E22" s="5"/>
      <c r="F22" s="4"/>
      <c r="G22" s="4"/>
      <c r="H22" s="5"/>
      <c r="I22" s="5"/>
      <c r="J22" s="4"/>
      <c r="K22" s="4"/>
      <c r="N22" s="7">
        <v>80.0</v>
      </c>
      <c r="P22" s="9"/>
      <c r="Q22" s="9"/>
      <c r="R22" s="9">
        <f t="shared" ref="R22:R25" si="3">ROUNDUP((P22+Q22)/2,0)</f>
        <v>0</v>
      </c>
    </row>
    <row r="23" ht="14.25" customHeight="1">
      <c r="A23" s="2"/>
      <c r="D23" s="4"/>
      <c r="E23" s="4"/>
      <c r="H23" s="4"/>
      <c r="I23" s="4"/>
      <c r="N23" s="12"/>
      <c r="P23" s="12"/>
      <c r="Q23" s="12"/>
      <c r="R23" s="9">
        <f t="shared" si="3"/>
        <v>0</v>
      </c>
    </row>
    <row r="24" ht="14.25" customHeight="1">
      <c r="A24" s="2"/>
      <c r="D24" s="4"/>
      <c r="E24" s="4"/>
      <c r="H24" s="4"/>
      <c r="I24" s="4"/>
      <c r="N24" s="13"/>
      <c r="P24" s="12"/>
      <c r="Q24" s="12"/>
      <c r="R24" s="9">
        <f t="shared" si="3"/>
        <v>0</v>
      </c>
    </row>
    <row r="25" ht="14.25" customHeight="1">
      <c r="A25" s="2"/>
      <c r="D25" s="4"/>
      <c r="E25" s="4"/>
      <c r="H25" s="4"/>
      <c r="I25" s="4"/>
      <c r="N25" s="12"/>
      <c r="P25" s="12"/>
      <c r="Q25" s="12"/>
      <c r="R25" s="9">
        <f t="shared" si="3"/>
        <v>0</v>
      </c>
    </row>
    <row r="26" ht="14.25" customHeight="1">
      <c r="A26" s="2"/>
      <c r="D26" s="4"/>
      <c r="E26" s="4"/>
      <c r="H26" s="4"/>
      <c r="I26" s="4"/>
      <c r="N26" s="11"/>
      <c r="P26" s="11"/>
      <c r="Q26" s="11"/>
      <c r="R26" s="11"/>
    </row>
    <row r="27" ht="14.25" customHeight="1">
      <c r="A27" s="2"/>
      <c r="D27" s="4"/>
      <c r="E27" s="4"/>
      <c r="H27" s="4"/>
      <c r="I27" s="4"/>
      <c r="N27" s="11"/>
      <c r="P27" s="11"/>
      <c r="Q27" s="11"/>
      <c r="R27" s="11"/>
    </row>
    <row r="28" ht="14.25" customHeight="1">
      <c r="A28" s="2"/>
      <c r="D28" s="4"/>
      <c r="E28" s="4"/>
      <c r="H28" s="4"/>
      <c r="I28" s="4"/>
      <c r="N28" s="11"/>
      <c r="P28" s="11"/>
      <c r="Q28" s="11"/>
      <c r="R28" s="11"/>
    </row>
    <row r="29" ht="14.25" customHeight="1">
      <c r="A29" s="2"/>
      <c r="D29" s="4"/>
      <c r="E29" s="4"/>
      <c r="H29" s="4"/>
      <c r="I29" s="4"/>
      <c r="N29" s="11"/>
      <c r="P29" s="11"/>
      <c r="Q29" s="11"/>
      <c r="R29" s="11"/>
    </row>
    <row r="30" ht="14.25" customHeight="1">
      <c r="A30" s="2"/>
      <c r="D30" s="4"/>
      <c r="E30" s="4"/>
      <c r="H30" s="4"/>
      <c r="I30" s="4"/>
      <c r="N30" s="11"/>
      <c r="P30" s="11"/>
      <c r="Q30" s="11"/>
      <c r="R30" s="11"/>
    </row>
    <row r="31" ht="14.25" customHeight="1">
      <c r="A31" s="2"/>
      <c r="D31" s="4"/>
      <c r="E31" s="4"/>
      <c r="H31" s="4"/>
      <c r="I31" s="4"/>
      <c r="N31" s="11"/>
      <c r="P31" s="11"/>
      <c r="Q31" s="11"/>
      <c r="R31" s="11"/>
    </row>
    <row r="32" ht="14.25" customHeight="1">
      <c r="A32" s="2" t="s">
        <v>12</v>
      </c>
      <c r="B32" s="5">
        <f>SUM_GPA_WEIGHTED(B2:B31, B2:B11, B12:B21, B22:B31)</f>
        <v>16.5</v>
      </c>
      <c r="C32" s="5">
        <f>SUM_GPA_WEIGHTED(B2:C31, B2:C11, B12:C21, B22:C31)</f>
        <v>32.3</v>
      </c>
      <c r="D32" s="5">
        <f>SUM_GPA_WEIGHTED(B2:D31, B2:D11, B12:D21, B22:D31)</f>
        <v>32.3</v>
      </c>
      <c r="E32" s="5">
        <f>SUM_GPA_WEIGHTED(B2:E31, B2:E11, B12:E21, B22:E31)</f>
        <v>32.3</v>
      </c>
      <c r="F32" s="5">
        <f>SUM_GPA_WEIGHTED(B2:F31, B2:F11, B12:F21, B22:F31)</f>
        <v>32.3</v>
      </c>
      <c r="G32" s="5">
        <f>SUM_GPA_WEIGHTED(B2:G31, B2:G11, B12:G21, B22:G31)</f>
        <v>32.3</v>
      </c>
      <c r="H32" s="5">
        <f>SUM_GPA_WEIGHTED(B2:H31, B2:H11, B12:H21, B22:H31)</f>
        <v>32.3</v>
      </c>
      <c r="I32" s="5">
        <f>SUM_GPA_WEIGHTED(B2:I31, B2:I11, B12:I21, B22:I31)</f>
        <v>32.3</v>
      </c>
      <c r="J32" s="5">
        <f>SUM_GPA_WEIGHTED(B2:J31, B2:J11, B12:J21, B22:J31)</f>
        <v>32.3</v>
      </c>
      <c r="K32" s="5">
        <f>SUM_GPA_WEIGHTED(B2:K31, B2:K11, B12:K21, B22:K31)</f>
        <v>32.3</v>
      </c>
      <c r="N32" s="6">
        <f>COUNT(N2:N11)*5+COUNT(N12:N21)*5.5+COUNT(N22:N31)*6-0.1*(COUNT(N2:N31)*100-SUM(N2:N31))</f>
        <v>23</v>
      </c>
      <c r="P32" s="11"/>
      <c r="Q32" s="11"/>
      <c r="R32" s="6">
        <f>COUNT(R1:R11)*5+COUNT(R12:R21)*5.5+COUNT(R22:R31)*6-(COUNT(R1:R31)*100-SUM(R1:R31))*0.1</f>
        <v>-39.5</v>
      </c>
    </row>
    <row r="33" ht="14.25" customHeight="1">
      <c r="A33" s="2" t="s">
        <v>13</v>
      </c>
      <c r="B33" s="5">
        <f>B32/COUNT(B2:B31)</f>
        <v>5.5</v>
      </c>
      <c r="C33" s="5">
        <f>C32/COUNT(B2:C31)</f>
        <v>5.383333333</v>
      </c>
      <c r="D33" s="5">
        <f>D32/COUNT(B2:D31)</f>
        <v>5.383333333</v>
      </c>
      <c r="E33" s="5">
        <f>E32/COUNT(B2:E31)</f>
        <v>5.383333333</v>
      </c>
      <c r="F33" s="5">
        <f>F32/COUNT(B2:F31)</f>
        <v>5.383333333</v>
      </c>
      <c r="G33" s="5">
        <f>G32/COUNT(B2:G31)</f>
        <v>5.383333333</v>
      </c>
      <c r="H33" s="5">
        <f>H32/COUNT(B2:H31)</f>
        <v>5.383333333</v>
      </c>
      <c r="I33" s="5">
        <f>I32/COUNT(B2:I31)</f>
        <v>5.383333333</v>
      </c>
      <c r="J33" s="5">
        <f>J32/COUNT(B2:J31)</f>
        <v>5.383333333</v>
      </c>
      <c r="K33" s="5">
        <f>K32/COUNT(B2:K31)</f>
        <v>5.383333333</v>
      </c>
      <c r="N33" s="6">
        <f>N32/COUNT(N2:N31)</f>
        <v>4.6</v>
      </c>
      <c r="P33" s="11"/>
      <c r="Q33" s="11"/>
      <c r="R33" s="6">
        <f>R32/COUNT(R1:R31)</f>
        <v>-4.388888889</v>
      </c>
    </row>
    <row r="34" ht="14.25" customHeight="1"/>
    <row r="35" ht="14.25" customHeight="1">
      <c r="A35" s="14" t="s">
        <v>14</v>
      </c>
      <c r="B35" s="15"/>
      <c r="C35" s="16"/>
    </row>
    <row r="36" ht="14.25" customHeight="1">
      <c r="A36" s="17" t="s">
        <v>12</v>
      </c>
      <c r="B36" s="7">
        <f>(COUNTIFS(B2:K31, "&gt;=80", B2:K31, "&lt;90")*3+COUNTIF(B2:K31, "&gt;=90")*4 + COUNTIFS(B2:K31, "&gt;=70", B2:K31, "&lt;80")*2)</f>
        <v>24</v>
      </c>
    </row>
    <row r="37" ht="14.25" customHeight="1">
      <c r="A37" s="17" t="s">
        <v>15</v>
      </c>
      <c r="B37" s="7">
        <f>(B36/COUNT(B2:K31))</f>
        <v>4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